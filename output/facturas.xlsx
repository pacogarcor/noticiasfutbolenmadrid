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ur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<sst xmlns="http://schemas.openxmlformats.org/spreadsheetml/2006/main" count="41" uniqueCount="35">
  <si>
    <t xml:space="preserve">Fecha</t>
  </si>
  <si>
    <t xml:space="preserve">Nº factura / albarán</t>
  </si>
  <si>
    <t xml:space="preserve">Proveedor</t>
  </si>
  <si>
    <t xml:space="preserve">CIF proveedor</t>
  </si>
  <si>
    <t xml:space="preserve">Concepto</t>
  </si>
  <si>
    <t xml:space="preserve">Base imponible (€)</t>
  </si>
  <si>
    <t xml:space="preserve">IVA %</t>
  </si>
  <si>
    <t xml:space="preserve">Cuota IVA (€)</t>
  </si>
  <si>
    <t xml:space="preserve">Total (€)</t>
  </si>
  <si>
    <t xml:space="preserve">Forma de pago</t>
  </si>
  <si>
    <t xml:space="preserve">Archivo</t>
  </si>
  <si>
    <t xml:space="preserve">SW/251601 (albarán)</t>
  </si>
  <si>
    <t xml:space="preserve">Vinila Tu Coche</t>
  </si>
  <si>
    <t xml:space="preserve">3M 2080-G13 Gloss Hotrod Red (0,5 ml) y 3M 2080-G12 Black Brillo (2,5 ml), vinilo 1,524x22,86 m</t>
  </si>
  <si>
    <t xml:space="preserve">VINILA_TU_COCHE_1601.pdf</t>
  </si>
  <si>
    <t xml:space="preserve">260504</t>
  </si>
  <si>
    <t xml:space="preserve">Búfalo Easy Trade, S.L. (Asesoría La Llave)</t>
  </si>
  <si>
    <t xml:space="preserve">B86634235</t>
  </si>
  <si>
    <t xml:space="preserve">Honorarios Contable y Fiscal julio/2026</t>
  </si>
  <si>
    <t xml:space="preserve">Transferencia</t>
  </si>
  <si>
    <t xml:space="preserve">Factura_A000504_2026-07-20.pdf</t>
  </si>
  <si>
    <t xml:space="preserve">260570</t>
  </si>
  <si>
    <t xml:space="preserve">Honorarios Contable y Fiscal agosto/2026</t>
  </si>
  <si>
    <t xml:space="preserve">Factura_A000570_2026-08-20.pdf</t>
  </si>
  <si>
    <t xml:space="preserve">260635</t>
  </si>
  <si>
    <t xml:space="preserve">Honorarios Contable y Fiscal septiembre/2026</t>
  </si>
  <si>
    <t xml:space="preserve">Factura_A000635_2026-09-21.pdf</t>
  </si>
  <si>
    <t xml:space="preserve">FA008710</t>
  </si>
  <si>
    <t xml:space="preserve">Todoemblemas - Los 1001 Emblemas Europa S.L.</t>
  </si>
  <si>
    <t xml:space="preserve">B01704576</t>
  </si>
  <si>
    <t xml:space="preserve">2 x Emblema Parrilla VW R (19,83 €) + envío Correos (2,90 €)</t>
  </si>
  <si>
    <t xml:space="preserve">Tarjeta (Redsys)</t>
  </si>
  <si>
    <t xml:space="preserve">FA008710.pdf</t>
  </si>
  <si>
    <t xml:space="preserve">TOTAL</t>
  </si>
  <si>
    <t xml:space="preserve">Nota: la factura de Vinila Tu Coche es una foto de un albarán (fecha 06/07/2026); el total 143,84 € coincide con el impreso. El proveedor y el CIF no constan legibles en la foto (CIF que aparece: 02334884Q es el del cliente).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</si>
</sst>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.00&quot; €&quot;"/>
    <numFmt numFmtId="167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52"/>
    <col collapsed="false" customWidth="true" hidden="false" outlineLevel="0" max="6" min="6" style="0" width="16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8"/>
    <col collapsed="false" customWidth="true" hidden="false" outlineLevel="0" max="11" min="11" style="0" width="3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2" t="n">
        <v>46209</v>
      </c>
      <c r="B2" s="3" t="s">
        <v>11</v>
      </c>
      <c r="C2" s="3" t="s">
        <v>12</v>
      </c>
      <c r="D2" s="3"/>
      <c r="E2" s="3" t="s">
        <v>13</v>
      </c>
      <c r="F2" s="4" t="n">
        <v>118.88</v>
      </c>
      <c r="G2" s="5" t="n">
        <v>0.21</v>
      </c>
      <c r="H2" s="4" t="n">
        <v>24.96</v>
      </c>
      <c r="I2" s="4" t="n">
        <f aca="false">F2+H2</f>
        <v>143.84</v>
      </c>
      <c r="J2" s="3"/>
      <c r="K2" s="3" t="s">
        <v>14</v>
      </c>
    </row>
    <row r="3" customFormat="false" ht="23.85" hidden="false" customHeight="false" outlineLevel="0" collapsed="false">
      <c r="A3" s="2" t="n">
        <v>46223</v>
      </c>
      <c r="B3" s="3" t="s">
        <v>15</v>
      </c>
      <c r="C3" s="3" t="s">
        <v>16</v>
      </c>
      <c r="D3" s="3" t="s">
        <v>17</v>
      </c>
      <c r="E3" s="3" t="s">
        <v>18</v>
      </c>
      <c r="F3" s="4" t="n">
        <v>51.45</v>
      </c>
      <c r="G3" s="5" t="n">
        <v>0.21</v>
      </c>
      <c r="H3" s="4" t="n">
        <v>10.8</v>
      </c>
      <c r="I3" s="4" t="n">
        <f aca="false">F3+H3</f>
        <v>62.25</v>
      </c>
      <c r="J3" s="3" t="s">
        <v>19</v>
      </c>
      <c r="K3" s="3" t="s">
        <v>20</v>
      </c>
    </row>
    <row r="4" customFormat="false" ht="23.85" hidden="false" customHeight="false" outlineLevel="0" collapsed="false">
      <c r="A4" s="2" t="n">
        <v>46254</v>
      </c>
      <c r="B4" s="3" t="s">
        <v>21</v>
      </c>
      <c r="C4" s="3" t="s">
        <v>16</v>
      </c>
      <c r="D4" s="3" t="s">
        <v>17</v>
      </c>
      <c r="E4" s="3" t="s">
        <v>22</v>
      </c>
      <c r="F4" s="4" t="n">
        <v>51.45</v>
      </c>
      <c r="G4" s="5" t="n">
        <v>0.21</v>
      </c>
      <c r="H4" s="4" t="n">
        <v>10.8</v>
      </c>
      <c r="I4" s="4" t="n">
        <f aca="false">F4+H4</f>
        <v>62.25</v>
      </c>
      <c r="J4" s="3" t="s">
        <v>19</v>
      </c>
      <c r="K4" s="3" t="s">
        <v>23</v>
      </c>
    </row>
    <row r="5" customFormat="false" ht="23.85" hidden="false" customHeight="false" outlineLevel="0" collapsed="false">
      <c r="A5" s="2" t="n">
        <v>46286</v>
      </c>
      <c r="B5" s="3" t="s">
        <v>24</v>
      </c>
      <c r="C5" s="3" t="s">
        <v>16</v>
      </c>
      <c r="D5" s="3" t="s">
        <v>17</v>
      </c>
      <c r="E5" s="3" t="s">
        <v>25</v>
      </c>
      <c r="F5" s="4" t="n">
        <v>51.45</v>
      </c>
      <c r="G5" s="5" t="n">
        <v>0.21</v>
      </c>
      <c r="H5" s="4" t="n">
        <v>10.8</v>
      </c>
      <c r="I5" s="4" t="n">
        <f aca="false">F5+H5</f>
        <v>62.25</v>
      </c>
      <c r="J5" s="3" t="s">
        <v>19</v>
      </c>
      <c r="K5" s="3" t="s">
        <v>26</v>
      </c>
    </row>
    <row r="6" customFormat="false" ht="23.85" hidden="false" customHeight="false" outlineLevel="0" collapsed="false">
      <c r="A6" s="2" t="n">
        <v>46290</v>
      </c>
      <c r="B6" s="3" t="s">
        <v>27</v>
      </c>
      <c r="C6" s="3" t="s">
        <v>28</v>
      </c>
      <c r="D6" s="3" t="s">
        <v>29</v>
      </c>
      <c r="E6" s="3" t="s">
        <v>30</v>
      </c>
      <c r="F6" s="4" t="n">
        <v>22.73</v>
      </c>
      <c r="G6" s="5" t="n">
        <v>0.21</v>
      </c>
      <c r="H6" s="4" t="n">
        <v>4.17</v>
      </c>
      <c r="I6" s="4" t="n">
        <f aca="false">F6+H6</f>
        <v>26.9</v>
      </c>
      <c r="J6" s="3" t="s">
        <v>31</v>
      </c>
      <c r="K6" s="3" t="s">
        <v>32</v>
      </c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customFormat="false" ht="15" hidden="false" customHeight="false" outlineLevel="0" collapsed="false">
      <c r="A8" s="7"/>
      <c r="B8" s="7"/>
      <c r="C8" s="7"/>
      <c r="D8" s="7"/>
      <c r="E8" s="7" t="s">
        <v>33</v>
      </c>
      <c r="F8" s="8" t="n">
        <f aca="false">SUM(F2:F6)</f>
        <v>295.96</v>
      </c>
      <c r="G8" s="7"/>
      <c r="H8" s="8" t="n">
        <f aca="false">SUM(H2:H6)</f>
        <v>61.53</v>
      </c>
      <c r="I8" s="8" t="n">
        <f aca="false">SUM(I2:I6)</f>
        <v>357.49</v>
      </c>
      <c r="J8" s="7"/>
      <c r="K8" s="7"/>
    </row>
    <row r="10" customFormat="false" ht="15" hidden="false" customHeight="false" outlineLevel="0" collapsed="false">
      <c r="A10" s="9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2026-10-06T15:46:19Z</dcterms:created>
  <dc:creator>openpyxl</dc:creator>
  <dc:description/>
  <dc:language>en-US</dc:language>
  <cp:lastModifiedBy/>
  <dcterms:modified xsi:type="dcterms:W3CDTF">2026-10-06T15:46:19Z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